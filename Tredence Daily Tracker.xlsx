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View" sheetId="1" state="visible" r:id="rId1"/>
    <sheet xmlns:r="http://schemas.openxmlformats.org/officeDocument/2006/relationships" name="Daily Activities" sheetId="2" state="visible" r:id="rId2"/>
    <sheet xmlns:r="http://schemas.openxmlformats.org/officeDocument/2006/relationships" name="Activity Tracker" sheetId="3" state="visible" r:id="rId3"/>
    <sheet xmlns:r="http://schemas.openxmlformats.org/officeDocument/2006/relationships" name="Dashboard" sheetId="4" state="visible" r:id="rId4"/>
  </sheets>
  <definedNames>
    <definedName name="_xlnm._FilterDatabase" localSheetId="1" hidden="1">'Daily Activities'!$A$3:$F$19</definedName>
    <definedName name="_xlnm._FilterDatabase" localSheetId="2" hidden="1">'Activity Tracker'!$A$3:$G$12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FFFFFF"/>
    </font>
    <font>
      <b val="1"/>
      <color rgb="00FFFFFF"/>
      <sz val="18"/>
    </font>
    <font>
      <b val="1"/>
      <color rgb="001F4E78"/>
      <sz val="18"/>
    </font>
    <font>
      <b val="1"/>
      <color rgb="000563C1"/>
      <u val="single"/>
    </font>
    <font>
      <b val="1"/>
      <color rgb="00595959"/>
    </font>
    <font>
      <b val="1"/>
    </font>
  </fonts>
  <fills count="12">
    <fill>
      <patternFill/>
    </fill>
    <fill>
      <patternFill patternType="gray125"/>
    </fill>
    <fill>
      <patternFill patternType="solid">
        <fgColor rgb="001F4E78"/>
      </patternFill>
    </fill>
    <fill>
      <patternFill patternType="solid">
        <fgColor rgb="005B9BD5"/>
      </patternFill>
    </fill>
    <fill>
      <patternFill patternType="solid">
        <fgColor rgb="00E2F0D9"/>
      </patternFill>
    </fill>
    <fill>
      <patternFill patternType="solid">
        <fgColor rgb="00D9EAF7"/>
      </patternFill>
    </fill>
    <fill>
      <patternFill patternType="solid">
        <fgColor rgb="00FFF2CC"/>
      </patternFill>
    </fill>
    <fill>
      <patternFill patternType="solid">
        <fgColor rgb="00F4CCCC"/>
      </patternFill>
    </fill>
    <fill>
      <patternFill patternType="solid">
        <fgColor rgb="007030A0"/>
      </patternFill>
    </fill>
    <fill>
      <patternFill patternType="solid">
        <fgColor rgb="00EADCF8"/>
      </patternFill>
    </fill>
    <fill>
      <patternFill patternType="solid">
        <fgColor rgb="00F8F2FF"/>
      </patternFill>
    </fill>
    <fill>
      <patternFill patternType="solid">
        <fgColor rgb="0070AD47"/>
      </patternFill>
    </fill>
  </fills>
  <borders count="6">
    <border>
      <left/>
      <right/>
      <top/>
      <bottom/>
      <diagonal/>
    </border>
    <border>
      <top style="medium">
        <color rgb="001F4E78"/>
      </top>
      <bottom style="medium">
        <color rgb="001F4E78"/>
      </bottom>
    </border>
    <border>
      <bottom style="thin">
        <color rgb="00BFBFBF"/>
      </bottom>
    </border>
    <border>
      <bottom style="medium">
        <color rgb="001F4E78"/>
      </bottom>
    </border>
    <border>
      <left/>
      <right/>
      <top/>
      <bottom style="medium">
        <color rgb="001F4E78"/>
      </bottom>
      <diagonal/>
    </border>
    <border>
      <right/>
      <bottom style="medium">
        <color rgb="001F4E78"/>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1" fillId="8" borderId="0" applyAlignment="1" pivotButton="0" quotePrefix="0" xfId="0">
      <alignment horizontal="center"/>
    </xf>
    <xf numFmtId="0" fontId="2" fillId="8" borderId="1" applyAlignment="1" pivotButton="0" quotePrefix="0" xfId="0">
      <alignment horizontal="center" vertical="center" wrapText="1"/>
    </xf>
    <xf numFmtId="0" fontId="0" fillId="9" borderId="2" applyAlignment="1" pivotButton="0" quotePrefix="0" xfId="0">
      <alignment vertical="top" wrapText="1"/>
    </xf>
    <xf numFmtId="9" fontId="0" fillId="9" borderId="2" applyAlignment="1" pivotButton="0" quotePrefix="0" xfId="0">
      <alignment vertical="top" wrapText="1"/>
    </xf>
    <xf numFmtId="0" fontId="0" fillId="10" borderId="2" applyAlignment="1" pivotButton="0" quotePrefix="0" xfId="0">
      <alignment vertical="top" wrapText="1"/>
    </xf>
    <xf numFmtId="9" fontId="0" fillId="10" borderId="2" applyAlignment="1" pivotButton="0" quotePrefix="0" xfId="0">
      <alignment vertical="top" wrapText="1"/>
    </xf>
    <xf numFmtId="0" fontId="3" fillId="2" borderId="0" applyAlignment="1" pivotButton="0" quotePrefix="0" xfId="0">
      <alignment horizontal="center"/>
    </xf>
    <xf numFmtId="0" fontId="2" fillId="3" borderId="0" applyAlignment="1" pivotButton="0" quotePrefix="0" xfId="0">
      <alignment horizontal="center"/>
    </xf>
    <xf numFmtId="0" fontId="4" fillId="5" borderId="3" applyAlignment="1" pivotButton="0" quotePrefix="0" xfId="0">
      <alignment horizontal="center"/>
    </xf>
    <xf numFmtId="9" fontId="4" fillId="5" borderId="3" applyAlignment="1" pivotButton="0" quotePrefix="0" xfId="0">
      <alignment horizontal="center"/>
    </xf>
    <xf numFmtId="0" fontId="2" fillId="11" borderId="2" applyAlignment="1" pivotButton="0" quotePrefix="0" xfId="0">
      <alignment horizontal="center"/>
    </xf>
    <xf numFmtId="0" fontId="0" fillId="0" borderId="2" applyAlignment="1" pivotButton="0" quotePrefix="0" xfId="0">
      <alignment horizontal="center"/>
    </xf>
    <xf numFmtId="0" fontId="6" fillId="6" borderId="0" applyAlignment="1" pivotButton="0" quotePrefix="0" xfId="0">
      <alignment wrapText="1"/>
    </xf>
    <xf numFmtId="0" fontId="1" fillId="0"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2" applyAlignment="1" pivotButton="0" quotePrefix="0" xfId="0">
      <alignment vertical="top" wrapText="1"/>
    </xf>
    <xf numFmtId="0" fontId="1" fillId="0" borderId="0" applyAlignment="1" pivotButton="0" quotePrefix="0" xfId="0">
      <alignment horizontal="center"/>
    </xf>
    <xf numFmtId="9" fontId="0" fillId="0" borderId="2" applyAlignment="1" pivotButton="0" quotePrefix="0" xfId="0">
      <alignment vertical="top" wrapText="1"/>
    </xf>
    <xf numFmtId="0" fontId="3" fillId="0" borderId="0" applyAlignment="1" pivotButton="0" quotePrefix="0" xfId="0">
      <alignment horizontal="center"/>
    </xf>
    <xf numFmtId="0" fontId="2" fillId="0" borderId="0" applyAlignment="1" pivotButton="0" quotePrefix="0" xfId="0">
      <alignment horizontal="center"/>
    </xf>
    <xf numFmtId="0" fontId="4" fillId="0" borderId="3" applyAlignment="1" pivotButton="0" quotePrefix="0" xfId="0">
      <alignment horizontal="center"/>
    </xf>
    <xf numFmtId="0" fontId="0" fillId="0" borderId="4" pivotButton="0" quotePrefix="0" xfId="0"/>
    <xf numFmtId="9" fontId="4" fillId="0" borderId="3" applyAlignment="1" pivotButton="0" quotePrefix="0" xfId="0">
      <alignment horizontal="center"/>
    </xf>
    <xf numFmtId="0" fontId="2" fillId="0" borderId="2" applyAlignment="1" pivotButton="0" quotePrefix="0" xfId="0">
      <alignment horizontal="center"/>
    </xf>
    <xf numFmtId="0" fontId="6" fillId="0" borderId="0" applyAlignment="1" pivotButton="0" quotePrefix="0" xfId="0">
      <alignment wrapText="1"/>
    </xf>
    <xf numFmtId="0" fontId="7" fillId="0" borderId="0" pivotButton="0" quotePrefix="0" xfId="0"/>
    <xf numFmtId="0" fontId="0" fillId="0" borderId="0" applyAlignment="1" pivotButton="0" quotePrefix="0" xfId="0">
      <alignment wrapText="1"/>
    </xf>
    <xf numFmtId="0" fontId="4" fillId="0" borderId="5" applyAlignment="1" pivotButton="0" quotePrefix="0" xfId="0">
      <alignment horizontal="center"/>
    </xf>
    <xf numFmtId="9" fontId="4" fillId="0" borderId="5" applyAlignment="1" pivotButton="0" quotePrefix="0" xfId="0">
      <alignment horizontal="center"/>
    </xf>
  </cellXfs>
  <cellStyles count="1">
    <cellStyle name="Normal" xfId="0" builtinId="0" hidden="0"/>
  </cellStyles>
  <dxfs count="4">
    <dxf>
      <fill>
        <patternFill patternType="solid">
          <fgColor rgb="00E2F0D9"/>
        </patternFill>
      </fill>
    </dxf>
    <dxf>
      <fill>
        <patternFill patternType="solid">
          <fgColor rgb="00D9EAF7"/>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Mode Summary</a:t>
            </a:r>
          </a:p>
        </rich>
      </tx>
    </title>
    <plotArea>
      <barChart>
        <barDir val="col"/>
        <grouping val="clustered"/>
        <ser>
          <idx val="0"/>
          <order val="0"/>
          <tx>
            <strRef>
              <f>'Dashboard'!B10</f>
            </strRef>
          </tx>
          <spPr>
            <a:ln xmlns:a="http://schemas.openxmlformats.org/drawingml/2006/main">
              <a:prstDash val="solid"/>
            </a:ln>
          </spPr>
          <cat>
            <numRef>
              <f>'Dashboard'!$A$11:$A$14</f>
            </numRef>
          </cat>
          <val>
            <numRef>
              <f>'Dashboard'!$B$11:$B$14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Work Mode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Days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Activity Category Distribution</a:t>
            </a:r>
          </a:p>
        </rich>
      </tx>
    </title>
    <plotArea>
      <pieChart>
        <varyColors val="1"/>
        <ser>
          <idx val="0"/>
          <order val="0"/>
          <tx>
            <strRef>
              <f>'Dashboard'!E10</f>
            </strRef>
          </tx>
          <spPr>
            <a:ln xmlns:a="http://schemas.openxmlformats.org/drawingml/2006/main">
              <a:prstDash val="solid"/>
            </a:ln>
          </spPr>
          <cat>
            <numRef>
              <f>'Dashboard'!$D$11:$D$19</f>
            </numRef>
          </cat>
          <val>
            <numRef>
              <f>'Dashboard'!$E$11:$E$19</f>
            </numRef>
          </val>
        </ser>
        <firstSliceAng val="0"/>
      </pieChart>
    </plotArea>
    <legend>
      <legendPos val="r"/>
    </legend>
    <plotVisOnly val="1"/>
    <dispBlanksAs val="gap"/>
  </chart>
</chartSpace>
</file>

<file path=xl/comments/comment1.xml><?xml version="1.0" encoding="utf-8"?>
<comments xmlns="http://schemas.openxmlformats.org/spreadsheetml/2006/main">
  <authors>
    <author>ChatGPT</author>
  </authors>
  <commentList>
    <comment ref="C3" authorId="0" shapeId="0">
      <text>
        <t>Use the dropdown to change work mode. Dashboard counts update automatically in Excel.</t>
      </text>
    </comment>
  </commentList>
</comments>
</file>

<file path=xl/comments/comment2.xml><?xml version="1.0" encoding="utf-8"?>
<comments xmlns="http://schemas.openxmlformats.org/spreadsheetml/2006/main">
  <authors>
    <author>ChatGPT</author>
  </authors>
  <commentList>
    <comment ref="E3" authorId="0" shapeId="0">
      <text>
        <t>Use the dropdown to update completion status.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21</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DailyActivityTable" displayName="DailyActivityTable" ref="A3:F19" headerRowCount="1">
  <autoFilter ref="A3:F19"/>
  <tableColumns count="6">
    <tableColumn id="1" name="Date"/>
    <tableColumn id="2" name="Day"/>
    <tableColumn id="3" name="Work Mode"/>
    <tableColumn id="4" name="Activity Type"/>
    <tableColumn id="5" name="Detailed Activity Description"/>
    <tableColumn id="6" name="Key Output / Evidence"/>
  </tableColumns>
  <tableStyleInfo name="TableStyleMedium2" showFirstColumn="0" showLastColumn="0" showRowStripes="1" showColumnStripes="0"/>
</table>
</file>

<file path=xl/tables/table2.xml><?xml version="1.0" encoding="utf-8"?>
<table xmlns="http://schemas.openxmlformats.org/spreadsheetml/2006/main" id="2" name="ActivityTrackerTable" displayName="ActivityTrackerTable" ref="A3:G12" headerRowCount="1">
  <autoFilter ref="A3:G12"/>
  <tableColumns count="7">
    <tableColumn id="1" name="Activity / Course"/>
    <tableColumn id="2" name="Category"/>
    <tableColumn id="3" name="Start Date"/>
    <tableColumn id="4" name="End Date"/>
    <tableColumn id="5" name="Status"/>
    <tableColumn id="6" name="Progress"/>
    <tableColumn id="7" name="Key Learning Outcom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Daily Activities'!A1" TargetMode="External" Id="rId1"/><Relationship Type="http://schemas.openxmlformats.org/officeDocument/2006/relationships/hyperlink" Target="#'Activity Tracker'!A1"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8" customWidth="1" min="1" max="1"/>
    <col width="15" customWidth="1" min="2" max="2"/>
    <col width="80" customWidth="1" min="3" max="3"/>
  </cols>
  <sheetData>
    <row r="1">
      <c r="A1" s="33" t="inlineStr">
        <is>
          <t>Date</t>
        </is>
      </c>
      <c r="B1" s="33" t="inlineStr">
        <is>
          <t>Work Mode</t>
        </is>
      </c>
      <c r="C1" s="33" t="inlineStr">
        <is>
          <t>Summary</t>
        </is>
      </c>
    </row>
    <row r="2">
      <c r="A2" s="34" t="inlineStr">
        <is>
          <t>20-May-2026</t>
        </is>
      </c>
      <c r="B2" s="34" t="inlineStr">
        <is>
          <t>Office</t>
        </is>
      </c>
      <c r="C2" s="34" t="inlineStr">
        <is>
          <t>Completed onboarding, laptop setup, and organizational orientation.</t>
        </is>
      </c>
    </row>
    <row r="3">
      <c r="A3" s="34" t="inlineStr">
        <is>
          <t>21-May-2026</t>
        </is>
      </c>
      <c r="B3" s="34" t="inlineStr">
        <is>
          <t>Home</t>
        </is>
      </c>
      <c r="C3" s="34" t="inlineStr">
        <is>
          <t>Received team introduction and Revenue Growth Management project overview.</t>
        </is>
      </c>
    </row>
    <row r="4">
      <c r="A4" s="34" t="inlineStr">
        <is>
          <t>22-May-2026</t>
        </is>
      </c>
      <c r="B4" s="34" t="inlineStr">
        <is>
          <t>Home</t>
        </is>
      </c>
      <c r="C4" s="34" t="inlineStr">
        <is>
          <t>Completed CPG and RGM domain familiarization through accelerator sessions.</t>
        </is>
      </c>
    </row>
    <row r="5">
      <c r="A5" s="34" t="inlineStr">
        <is>
          <t>23-May-2026</t>
        </is>
      </c>
      <c r="B5" s="34" t="inlineStr">
        <is>
          <t>Weekend</t>
        </is>
      </c>
      <c r="C5" s="34" t="inlineStr">
        <is>
          <t>Weekend – No official internship activities.</t>
        </is>
      </c>
    </row>
    <row r="6">
      <c r="A6" s="34" t="inlineStr">
        <is>
          <t>24-May-2026</t>
        </is>
      </c>
      <c r="B6" s="34" t="inlineStr">
        <is>
          <t>Weekend</t>
        </is>
      </c>
      <c r="C6" s="34" t="inlineStr">
        <is>
          <t>Weekend – No official internship activities.</t>
        </is>
      </c>
    </row>
    <row r="7">
      <c r="A7" s="34" t="inlineStr">
        <is>
          <t>25-May-2026</t>
        </is>
      </c>
      <c r="B7" s="34" t="inlineStr">
        <is>
          <t>Leave</t>
        </is>
      </c>
      <c r="C7" s="34" t="inlineStr">
        <is>
          <t>Approved leave for pre-planned pilgrimage.</t>
        </is>
      </c>
    </row>
    <row r="8">
      <c r="A8" s="34" t="inlineStr">
        <is>
          <t>26-May-2026</t>
        </is>
      </c>
      <c r="B8" s="34" t="inlineStr">
        <is>
          <t>Leave</t>
        </is>
      </c>
      <c r="C8" s="34" t="inlineStr">
        <is>
          <t>Approved leave for pre-planned pilgrimage.</t>
        </is>
      </c>
    </row>
    <row r="9">
      <c r="A9" s="34" t="inlineStr">
        <is>
          <t>27-May-2026</t>
        </is>
      </c>
      <c r="B9" s="34" t="inlineStr">
        <is>
          <t>Office</t>
        </is>
      </c>
      <c r="C9" s="34" t="inlineStr">
        <is>
          <t>Completed CPG 101 and QMS Awareness (ISO 9001:2015) training.</t>
        </is>
      </c>
    </row>
    <row r="10">
      <c r="A10" s="34" t="inlineStr">
        <is>
          <t>28-May-2026</t>
        </is>
      </c>
      <c r="B10" s="34" t="inlineStr">
        <is>
          <t>Home</t>
        </is>
      </c>
      <c r="C10" s="34" t="inlineStr">
        <is>
          <t>Completed Data Science Accelerator and studied elasticity concepts.</t>
        </is>
      </c>
    </row>
    <row r="11">
      <c r="A11" s="34" t="inlineStr">
        <is>
          <t>29-May-2026</t>
        </is>
      </c>
      <c r="B11" s="34" t="inlineStr">
        <is>
          <t>Office</t>
        </is>
      </c>
      <c r="C11" s="34" t="inlineStr">
        <is>
          <t>Performed exploratory analysis on synthetic CPG dataset.</t>
        </is>
      </c>
    </row>
    <row r="12">
      <c r="A12" s="34" t="inlineStr">
        <is>
          <t>30-May-2026</t>
        </is>
      </c>
      <c r="B12" s="34" t="inlineStr">
        <is>
          <t>Weekend</t>
        </is>
      </c>
      <c r="C12" s="34" t="inlineStr">
        <is>
          <t>Weekend – No official internship activities.</t>
        </is>
      </c>
    </row>
    <row r="13">
      <c r="A13" s="34" t="inlineStr">
        <is>
          <t>31-May-2026</t>
        </is>
      </c>
      <c r="B13" s="34" t="inlineStr">
        <is>
          <t>Weekend</t>
        </is>
      </c>
      <c r="C13" s="34" t="inlineStr">
        <is>
          <t>Weekend – No official internship activities.</t>
        </is>
      </c>
    </row>
    <row r="14">
      <c r="A14" s="34" t="inlineStr">
        <is>
          <t>01-Jun-2026</t>
        </is>
      </c>
      <c r="B14" s="34" t="inlineStr">
        <is>
          <t>Home</t>
        </is>
      </c>
      <c r="C14" s="34" t="inlineStr">
        <is>
          <t>Refined synthetic dataset and strengthened presentation skills.</t>
        </is>
      </c>
    </row>
    <row r="15">
      <c r="A15" s="34" t="inlineStr">
        <is>
          <t>02-Jun-2026</t>
        </is>
      </c>
      <c r="B15" s="34" t="inlineStr">
        <is>
          <t>Home</t>
        </is>
      </c>
      <c r="C15" s="34" t="inlineStr">
        <is>
          <t>Started AI Aware – Learning to Think About AI course.</t>
        </is>
      </c>
    </row>
    <row r="16">
      <c r="A16" s="34" t="inlineStr">
        <is>
          <t>03-Jun-2026</t>
        </is>
      </c>
      <c r="B16" s="34" t="inlineStr">
        <is>
          <t>Office</t>
        </is>
      </c>
      <c r="C16" s="34" t="inlineStr">
        <is>
          <t>Continued AI Aware course and enterprise AI learning.</t>
        </is>
      </c>
    </row>
    <row r="17">
      <c r="A17" s="34" t="inlineStr">
        <is>
          <t>04-Jun-2026</t>
        </is>
      </c>
      <c r="B17" s="34" t="inlineStr">
        <is>
          <t>Office</t>
        </is>
      </c>
      <c r="C17" s="34" t="inlineStr">
        <is>
          <t>Completed AI Aware, Excel, and Power BI learning modules.</t>
        </is>
      </c>
    </row>
    <row r="18">
      <c r="A18" s="34" t="inlineStr">
        <is>
          <t>05-Jun-2026</t>
        </is>
      </c>
      <c r="B18" s="34" t="inlineStr">
        <is>
          <t>Office</t>
        </is>
      </c>
      <c r="C18" s="34" t="inlineStr">
        <is>
          <t>Completed Deep Learning Math and Designing BI Infrastructure courses.</t>
        </is>
      </c>
    </row>
    <row r="19">
      <c r="A19" s="34" t="inlineStr">
        <is>
          <t>06-Jun-2026</t>
        </is>
      </c>
      <c r="B19" s="34" t="inlineStr">
        <is>
          <t>Weekend</t>
        </is>
      </c>
      <c r="C19" s="34" t="inlineStr">
        <is>
          <t>Weekend – No official internship activities.</t>
        </is>
      </c>
    </row>
    <row r="20">
      <c r="A20" s="34" t="inlineStr">
        <is>
          <t>07-Jun-2026</t>
        </is>
      </c>
      <c r="B20" s="34" t="inlineStr">
        <is>
          <t>Weekend</t>
        </is>
      </c>
      <c r="C20" s="34" t="inlineStr">
        <is>
          <t>Weekend – No official internship activities.</t>
        </is>
      </c>
    </row>
    <row r="21">
      <c r="A21" s="34" t="inlineStr">
        <is>
          <t>08-Jun-2026</t>
        </is>
      </c>
      <c r="B21" s="34" t="inlineStr">
        <is>
          <t>Home</t>
        </is>
      </c>
      <c r="C21" s="34" t="inlineStr">
        <is>
          <t>Explored JTI data, created joins, and validated key mappings.</t>
        </is>
      </c>
    </row>
    <row r="22">
      <c r="A22" s="34" t="inlineStr">
        <is>
          <t>09-Jun-2026</t>
        </is>
      </c>
      <c r="B22" s="34" t="inlineStr">
        <is>
          <t>Office</t>
        </is>
      </c>
      <c r="C22" s="34" t="inlineStr">
        <is>
          <t>Compared Montengo and LD datasets and executed elasticity models.</t>
        </is>
      </c>
    </row>
    <row r="23">
      <c r="A23" s="34" t="inlineStr">
        <is>
          <t>10-Jun-2026</t>
        </is>
      </c>
      <c r="B23" s="34" t="inlineStr">
        <is>
          <t>Office</t>
        </is>
      </c>
      <c r="C23" s="34" t="inlineStr">
        <is>
          <t>Prepared elasticity model report and started Gemini Enterprise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25"/>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22" customWidth="1" min="4" max="4"/>
    <col width="68" customWidth="1" min="5" max="5"/>
    <col width="35" customWidth="1" min="6" max="6"/>
  </cols>
  <sheetData>
    <row r="1" ht="30" customHeight="1">
      <c r="A1" s="21" t="inlineStr">
        <is>
          <t>Tredence Internship - Daily Activity Log</t>
        </is>
      </c>
      <c r="J1" s="2" t="inlineStr">
        <is>
          <t>Go to Dashboard</t>
        </is>
      </c>
    </row>
    <row r="3">
      <c r="A3" s="22" t="inlineStr">
        <is>
          <t>Date</t>
        </is>
      </c>
      <c r="B3" s="22" t="inlineStr">
        <is>
          <t>Day</t>
        </is>
      </c>
      <c r="C3" s="22" t="inlineStr">
        <is>
          <t>Work Mode</t>
        </is>
      </c>
      <c r="D3" s="22" t="inlineStr">
        <is>
          <t>Activity Type</t>
        </is>
      </c>
      <c r="E3" s="22" t="inlineStr">
        <is>
          <t>Detailed Activity Description</t>
        </is>
      </c>
      <c r="F3" s="22" t="inlineStr">
        <is>
          <t>Key Output / Evidence</t>
        </is>
      </c>
    </row>
    <row r="4" ht="72" customHeight="1">
      <c r="A4" s="23" t="inlineStr">
        <is>
          <t>20-May-2026</t>
        </is>
      </c>
      <c r="B4" s="23" t="inlineStr">
        <is>
          <t>Wednesday</t>
        </is>
      </c>
      <c r="C4" s="23" t="inlineStr">
        <is>
          <t>Office</t>
        </is>
      </c>
      <c r="D4" s="23" t="inlineStr">
        <is>
          <t>Onboarding</t>
        </is>
      </c>
      <c r="E4" s="23" t="inlineStr">
        <is>
          <t>Completed internship onboarding activities, received the official laptop and system access support, attended induction-related activities, and understood the basic organizational structure, reporting flow, work expectations, compliance requirements, and internship deliverables.</t>
        </is>
      </c>
      <c r="F4" s="23" t="inlineStr">
        <is>
          <t>Laptop handover and onboarding completed</t>
        </is>
      </c>
    </row>
    <row r="5" ht="72" customHeight="1">
      <c r="A5" s="23" t="inlineStr">
        <is>
          <t>21-May-2026</t>
        </is>
      </c>
      <c r="B5" s="23" t="inlineStr">
        <is>
          <t>Thursday</t>
        </is>
      </c>
      <c r="C5" s="23" t="inlineStr">
        <is>
          <t>Home</t>
        </is>
      </c>
      <c r="D5" s="23" t="inlineStr">
        <is>
          <t>Team Interaction</t>
        </is>
      </c>
      <c r="E5" s="23" t="inlineStr">
        <is>
          <t>Connected with the team virtually and received an overview of the Revenue Growth Management practice. Understood the role of the team, project workflow, client-focused analytics approach, and the key learning areas expected during the internship.</t>
        </is>
      </c>
      <c r="F5" s="23" t="inlineStr">
        <is>
          <t>Team introduction and RGM overview</t>
        </is>
      </c>
    </row>
    <row r="6" ht="72" customHeight="1">
      <c r="A6" s="23" t="inlineStr">
        <is>
          <t>22-May-2026</t>
        </is>
      </c>
      <c r="B6" s="23" t="inlineStr">
        <is>
          <t>Friday</t>
        </is>
      </c>
      <c r="C6" s="23" t="inlineStr">
        <is>
          <t>Home</t>
        </is>
      </c>
      <c r="D6" s="23" t="inlineStr">
        <is>
          <t>Domain Learning</t>
        </is>
      </c>
      <c r="E6" s="23" t="inlineStr">
        <is>
          <t>Went through the Kellanova project walkthrough and accelerator orientation. Learned the fundamentals of Consumer Packaged Goods, Revenue Growth Management, price analytics, sales drivers, demand response, promotional effectiveness, and how accelerator code can be used to solve business problems.</t>
        </is>
      </c>
      <c r="F6" s="23" t="inlineStr">
        <is>
          <t>CPG and RGM foundation completed</t>
        </is>
      </c>
    </row>
    <row r="7" ht="72" customHeight="1">
      <c r="A7" s="23" t="inlineStr">
        <is>
          <t>23-May-2026</t>
        </is>
      </c>
      <c r="B7" s="23" t="inlineStr">
        <is>
          <t>Saturday</t>
        </is>
      </c>
      <c r="C7" s="23" t="inlineStr">
        <is>
          <t>Weekend</t>
        </is>
      </c>
      <c r="D7" s="23" t="inlineStr">
        <is>
          <t>No Work</t>
        </is>
      </c>
      <c r="E7" s="23" t="inlineStr">
        <is>
          <t>Weekend holiday. No official internship activity was scheduled.</t>
        </is>
      </c>
      <c r="F7" s="23" t="inlineStr">
        <is>
          <t>No work</t>
        </is>
      </c>
    </row>
    <row r="8" ht="72" customHeight="1">
      <c r="A8" s="23" t="inlineStr">
        <is>
          <t>24-May-2026</t>
        </is>
      </c>
      <c r="B8" s="23" t="inlineStr">
        <is>
          <t>Sunday</t>
        </is>
      </c>
      <c r="C8" s="23" t="inlineStr">
        <is>
          <t>Weekend</t>
        </is>
      </c>
      <c r="D8" s="23" t="inlineStr">
        <is>
          <t>No Work</t>
        </is>
      </c>
      <c r="E8" s="23" t="inlineStr">
        <is>
          <t>Weekend holiday. No official internship activity was scheduled.</t>
        </is>
      </c>
      <c r="F8" s="23" t="inlineStr">
        <is>
          <t>No work</t>
        </is>
      </c>
    </row>
    <row r="9" ht="72" customHeight="1">
      <c r="A9" s="23" t="inlineStr">
        <is>
          <t>25-May-2026</t>
        </is>
      </c>
      <c r="B9" s="23" t="inlineStr">
        <is>
          <t>Monday</t>
        </is>
      </c>
      <c r="C9" s="23" t="inlineStr">
        <is>
          <t>Leave</t>
        </is>
      </c>
      <c r="D9" s="23" t="inlineStr">
        <is>
          <t>Leave</t>
        </is>
      </c>
      <c r="E9" s="23" t="inlineStr">
        <is>
          <t>Approved leave due to a pre-planned pilgrimage trip before the commencement of internship activities.</t>
        </is>
      </c>
      <c r="F9" s="23" t="inlineStr">
        <is>
          <t>Leave</t>
        </is>
      </c>
    </row>
    <row r="10" ht="72" customHeight="1">
      <c r="A10" s="23" t="inlineStr">
        <is>
          <t>26-May-2026</t>
        </is>
      </c>
      <c r="B10" s="23" t="inlineStr">
        <is>
          <t>Tuesday</t>
        </is>
      </c>
      <c r="C10" s="23" t="inlineStr">
        <is>
          <t>Leave</t>
        </is>
      </c>
      <c r="D10" s="23" t="inlineStr">
        <is>
          <t>Leave</t>
        </is>
      </c>
      <c r="E10" s="23" t="inlineStr">
        <is>
          <t>Approved leave due to a pre-planned pilgrimage trip before the commencement of internship activities.</t>
        </is>
      </c>
      <c r="F10" s="23" t="inlineStr">
        <is>
          <t>Leave</t>
        </is>
      </c>
    </row>
    <row r="11" ht="72" customHeight="1">
      <c r="A11" s="23" t="inlineStr">
        <is>
          <t>27-May-2026</t>
        </is>
      </c>
      <c r="B11" s="23" t="inlineStr">
        <is>
          <t>Wednesday</t>
        </is>
      </c>
      <c r="C11" s="23" t="inlineStr">
        <is>
          <t>Office</t>
        </is>
      </c>
      <c r="D11" s="23" t="inlineStr">
        <is>
          <t>Course Completion</t>
        </is>
      </c>
      <c r="E11" s="23" t="inlineStr">
        <is>
          <t>Completed the Industry Overview (CPG 101) course and QMS Awareness Training based on ISO 9001:2015. Gained clarity on CPG industry structure, quality management practices, documentation discipline, process compliance, and the importance of standardized delivery in consulting and analytics projects.</t>
        </is>
      </c>
      <c r="F11" s="23" t="inlineStr">
        <is>
          <t>CPG 101 and QMS training completed</t>
        </is>
      </c>
    </row>
    <row r="12" ht="72" customHeight="1">
      <c r="A12" s="23" t="inlineStr">
        <is>
          <t>28-May-2026</t>
        </is>
      </c>
      <c r="B12" s="23" t="inlineStr">
        <is>
          <t>Thursday</t>
        </is>
      </c>
      <c r="C12" s="23" t="inlineStr">
        <is>
          <t>Home</t>
        </is>
      </c>
      <c r="D12" s="23" t="inlineStr">
        <is>
          <t>Technical Learning</t>
        </is>
      </c>
      <c r="E12" s="23" t="inlineStr">
        <is>
          <t>Completed the Data Science Accelerator Series. Studied Price Elasticity and Cross Price Elasticity from the same CPG/RGM code workflow used earlier. Created and uploaded a synthetic CPG dataset to GitHub to practice the complete pipeline, including sales, pricing, promotion, product, and customer-related variables.</t>
        </is>
      </c>
      <c r="F12" s="23" t="inlineStr">
        <is>
          <t>Data Science Accelerator and GitHub dataset upload</t>
        </is>
      </c>
    </row>
    <row r="13" ht="72" customHeight="1">
      <c r="A13" s="23" t="inlineStr">
        <is>
          <t>29-May-2026</t>
        </is>
      </c>
      <c r="B13" s="23" t="inlineStr">
        <is>
          <t>Friday</t>
        </is>
      </c>
      <c r="C13" s="23" t="inlineStr">
        <is>
          <t>Office</t>
        </is>
      </c>
      <c r="D13" s="23" t="inlineStr">
        <is>
          <t>Project Work</t>
        </is>
      </c>
      <c r="E13" s="23" t="inlineStr">
        <is>
          <t>Worked on the synthesized CPG dataset using the same accelerator-style CPG code. Performed initial exploratory data analysis, checked dataset structure, reviewed sales and price variables, studied relationships between price, quantity, revenue, and promotions, and prepared the dataset for elasticity modelling and business interpretation.</t>
        </is>
      </c>
      <c r="F13" s="23" t="inlineStr">
        <is>
          <t>Synthetic dataset analysis started</t>
        </is>
      </c>
    </row>
    <row r="14" ht="72" customHeight="1">
      <c r="A14" s="23" t="inlineStr">
        <is>
          <t>30-May-2026</t>
        </is>
      </c>
      <c r="B14" s="23" t="inlineStr">
        <is>
          <t>Saturday</t>
        </is>
      </c>
      <c r="C14" s="23" t="inlineStr">
        <is>
          <t>Weekend</t>
        </is>
      </c>
      <c r="D14" s="23" t="inlineStr">
        <is>
          <t>No Work</t>
        </is>
      </c>
      <c r="E14" s="23" t="inlineStr">
        <is>
          <t>Weekend holiday. No official internship activity was scheduled.</t>
        </is>
      </c>
      <c r="F14" s="23" t="inlineStr">
        <is>
          <t>No work</t>
        </is>
      </c>
    </row>
    <row r="15" ht="72" customHeight="1">
      <c r="A15" s="23" t="inlineStr">
        <is>
          <t>31-May-2026</t>
        </is>
      </c>
      <c r="B15" s="23" t="inlineStr">
        <is>
          <t>Sunday</t>
        </is>
      </c>
      <c r="C15" s="23" t="inlineStr">
        <is>
          <t>Weekend</t>
        </is>
      </c>
      <c r="D15" s="23" t="inlineStr">
        <is>
          <t>No Work</t>
        </is>
      </c>
      <c r="E15" s="23" t="inlineStr">
        <is>
          <t>Weekend holiday. No official internship activity was scheduled.</t>
        </is>
      </c>
      <c r="F15" s="23" t="inlineStr">
        <is>
          <t>No work</t>
        </is>
      </c>
    </row>
    <row r="16" ht="72" customHeight="1">
      <c r="A16" s="23" t="inlineStr">
        <is>
          <t>01-Jun-2026</t>
        </is>
      </c>
      <c r="B16" s="23" t="inlineStr">
        <is>
          <t>Monday</t>
        </is>
      </c>
      <c r="C16" s="23" t="inlineStr">
        <is>
          <t>Home</t>
        </is>
      </c>
      <c r="D16" s="23" t="inlineStr">
        <is>
          <t>Project Work</t>
        </is>
      </c>
      <c r="E16" s="23" t="inlineStr">
        <is>
          <t>Continued working on the synthetic CPG dataset. Improved dataset readiness, reviewed feature consistency, explored price and volume relationships, and refined the analysis flow. Also worked on improving presentation skills for explaining technical findings clearly in a business-friendly manner.</t>
        </is>
      </c>
      <c r="F16" s="23" t="inlineStr">
        <is>
          <t>Dataset refinement and presentation skill improvement</t>
        </is>
      </c>
    </row>
    <row r="17" ht="72" customHeight="1">
      <c r="A17" s="23" t="inlineStr">
        <is>
          <t>02-Jun-2026</t>
        </is>
      </c>
      <c r="B17" s="23" t="inlineStr">
        <is>
          <t>Tuesday</t>
        </is>
      </c>
      <c r="C17" s="23" t="inlineStr">
        <is>
          <t>Home</t>
        </is>
      </c>
      <c r="D17" s="23" t="inlineStr">
        <is>
          <t>Course Learning</t>
        </is>
      </c>
      <c r="E17" s="23" t="inlineStr">
        <is>
          <t>Started the AI Aware: Learning to Think About AI course. Learned AI fundamentals, enterprise AI adoption, responsible AI concepts, practical business applications, and the importance of using AI as a decision-support capability rather than only a technical tool.</t>
        </is>
      </c>
      <c r="F17" s="23" t="inlineStr">
        <is>
          <t>AI Aware course started</t>
        </is>
      </c>
    </row>
    <row r="18" ht="72" customHeight="1">
      <c r="A18" s="23" t="inlineStr">
        <is>
          <t>03-Jun-2026</t>
        </is>
      </c>
      <c r="B18" s="23" t="inlineStr">
        <is>
          <t>Wednesday</t>
        </is>
      </c>
      <c r="C18" s="23" t="inlineStr">
        <is>
          <t>Office</t>
        </is>
      </c>
      <c r="D18" s="23" t="inlineStr">
        <is>
          <t>Course Learning</t>
        </is>
      </c>
      <c r="E18" s="23" t="inlineStr">
        <is>
          <t>Continued the AI Aware course with focus on practical AI thinking, use case identification, risk awareness, responsible AI adoption, governance considerations, and how AI can support analytics, automation, and consulting deliverables.</t>
        </is>
      </c>
      <c r="F18" s="23" t="inlineStr">
        <is>
          <t>AI Aware course continued</t>
        </is>
      </c>
    </row>
    <row r="19" ht="72" customHeight="1">
      <c r="A19" s="23" t="inlineStr">
        <is>
          <t>04-Jun-2026</t>
        </is>
      </c>
      <c r="B19" s="23" t="inlineStr">
        <is>
          <t>Thursday</t>
        </is>
      </c>
      <c r="C19" s="23" t="inlineStr">
        <is>
          <t>Office</t>
        </is>
      </c>
      <c r="D19" s="23" t="inlineStr">
        <is>
          <t>Course Completion</t>
        </is>
      </c>
      <c r="E19" s="23" t="inlineStr">
        <is>
          <t>Completed the AI Aware course and final assessment. Also completed Pivot Tables in Excel, Exploring Data in Excel, and PL-300: Power BI for Data Analysis on Skillsoft. Strengthened skills in Excel-based reporting, structured data exploration, Power BI concepts, dashboarding, and business intelligence communication.</t>
        </is>
      </c>
      <c r="F19" s="23" t="inlineStr">
        <is>
          <t>AI, Excel, and Power BI courses completed</t>
        </is>
      </c>
    </row>
    <row r="20">
      <c r="A20" t="inlineStr">
        <is>
          <t>05-Jun-2026</t>
        </is>
      </c>
      <c r="B20" t="inlineStr">
        <is>
          <t>Thursday</t>
        </is>
      </c>
      <c r="C20" t="inlineStr">
        <is>
          <t>Office</t>
        </is>
      </c>
      <c r="D20" t="inlineStr">
        <is>
          <t>Course Completion</t>
        </is>
      </c>
      <c r="E20" t="inlineStr">
        <is>
          <t>Completed Deep Learning Math and Designing BI Infrastructure courses on Percipio.</t>
        </is>
      </c>
      <c r="F20" t="inlineStr">
        <is>
          <t>Course completion</t>
        </is>
      </c>
    </row>
    <row r="21">
      <c r="A21" t="inlineStr">
        <is>
          <t>06-Jun-2026</t>
        </is>
      </c>
      <c r="B21" t="inlineStr">
        <is>
          <t>Friday</t>
        </is>
      </c>
      <c r="C21" t="inlineStr">
        <is>
          <t>Weekend</t>
        </is>
      </c>
      <c r="D21" t="inlineStr">
        <is>
          <t>No Work</t>
        </is>
      </c>
      <c r="E21" t="inlineStr">
        <is>
          <t>Weekend – No official internship activity.</t>
        </is>
      </c>
      <c r="F21" t="inlineStr">
        <is>
          <t>No work</t>
        </is>
      </c>
    </row>
    <row r="22">
      <c r="A22" t="inlineStr">
        <is>
          <t>07-Jun-2026</t>
        </is>
      </c>
      <c r="B22" t="inlineStr">
        <is>
          <t>Saturday</t>
        </is>
      </c>
      <c r="C22" t="inlineStr">
        <is>
          <t>Weekend</t>
        </is>
      </c>
      <c r="D22" t="inlineStr">
        <is>
          <t>No Work</t>
        </is>
      </c>
      <c r="E22" t="inlineStr">
        <is>
          <t>Weekend – No official internship activity.</t>
        </is>
      </c>
      <c r="F22" t="inlineStr">
        <is>
          <t>No work</t>
        </is>
      </c>
    </row>
    <row r="23">
      <c r="A23" t="inlineStr">
        <is>
          <t>08-Jun-2026</t>
        </is>
      </c>
      <c r="B23" t="inlineStr">
        <is>
          <t>Sunday</t>
        </is>
      </c>
      <c r="C23" t="inlineStr">
        <is>
          <t>Home</t>
        </is>
      </c>
      <c r="D23" t="inlineStr">
        <is>
          <t>Data Exploration</t>
        </is>
      </c>
      <c r="E23" t="inlineStr">
        <is>
          <t>Explored JTI data, created joins, and validated key mappings.</t>
        </is>
      </c>
      <c r="F23" t="inlineStr">
        <is>
          <t>JTI data understanding</t>
        </is>
      </c>
    </row>
    <row r="24">
      <c r="A24" t="inlineStr">
        <is>
          <t>09-Jun-2026</t>
        </is>
      </c>
      <c r="B24" t="inlineStr">
        <is>
          <t>Monday</t>
        </is>
      </c>
      <c r="C24" t="inlineStr">
        <is>
          <t>Office</t>
        </is>
      </c>
      <c r="D24" t="inlineStr">
        <is>
          <t>Model Development</t>
        </is>
      </c>
      <c r="E24" t="inlineStr">
        <is>
          <t>Reviewed Montengo and LD master data and executed OLS, HLM, GAM and related elasticity models.</t>
        </is>
      </c>
      <c r="F24" t="inlineStr">
        <is>
          <t>Elasticity model execution</t>
        </is>
      </c>
    </row>
    <row r="25">
      <c r="A25" t="inlineStr">
        <is>
          <t>10-Jun-2026</t>
        </is>
      </c>
      <c r="B25" t="inlineStr">
        <is>
          <t>Tuesday</t>
        </is>
      </c>
      <c r="C25" t="inlineStr">
        <is>
          <t>Office</t>
        </is>
      </c>
      <c r="D25" t="inlineStr">
        <is>
          <t>Reporting</t>
        </is>
      </c>
      <c r="E25" t="inlineStr">
        <is>
          <t>Prepared elasticity model findings report and started Gemini Enterprise course.</t>
        </is>
      </c>
      <c r="F25" t="inlineStr">
        <is>
          <t>Report and Gemini course</t>
        </is>
      </c>
    </row>
  </sheetData>
  <autoFilter ref="A3:F19"/>
  <mergeCells count="1">
    <mergeCell ref="A1:F1"/>
  </mergeCells>
  <conditionalFormatting sqref="C4:C19">
    <cfRule type="expression" priority="1" dxfId="0">
      <formula>$C4="Office"</formula>
    </cfRule>
    <cfRule type="expression" priority="2" dxfId="1">
      <formula>$C4="Home"</formula>
    </cfRule>
    <cfRule type="expression" priority="3" dxfId="2">
      <formula>$C4="Leave"</formula>
    </cfRule>
    <cfRule type="expression" priority="4" dxfId="3">
      <formula>$C4="Weekend"</formula>
    </cfRule>
  </conditionalFormatting>
  <dataValidations count="2">
    <dataValidation sqref="C4:C19" showDropDown="0" showInputMessage="0" showErrorMessage="0" allowBlank="0" type="list">
      <formula1>"Office,Home,Leave,Weekend"</formula1>
    </dataValidation>
    <dataValidation sqref="D4:D19" showDropDown="0" showInputMessage="0" showErrorMessage="0" allowBlank="1" type="list">
      <formula1>"Onboarding,Team Interaction,Domain Learning,Technical Learning,Project Work,Course Learning,Course Completion,No Work,Leave"</formula1>
    </dataValidation>
  </dataValidations>
  <hyperlinks>
    <hyperlink xmlns:r="http://schemas.openxmlformats.org/officeDocument/2006/relationships" ref="J1" r:id="rId1"/>
  </hyperlink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J18"/>
  <sheetViews>
    <sheetView showGridLines="0" workbookViewId="0">
      <pane ySplit="3" topLeftCell="A4" activePane="bottomLeft" state="frozen"/>
      <selection pane="bottomLeft" activeCell="A1" sqref="A1"/>
    </sheetView>
  </sheetViews>
  <sheetFormatPr baseColWidth="8" defaultRowHeight="15"/>
  <cols>
    <col width="34" customWidth="1" min="1" max="1"/>
    <col width="22" customWidth="1" min="2" max="2"/>
    <col width="16" customWidth="1" min="3" max="3"/>
    <col width="16" customWidth="1" min="4" max="4"/>
    <col width="16" customWidth="1" min="5" max="5"/>
    <col width="13" customWidth="1" min="6" max="6"/>
    <col width="60" customWidth="1" min="7" max="7"/>
  </cols>
  <sheetData>
    <row r="1" ht="30" customHeight="1">
      <c r="A1" s="24" t="inlineStr">
        <is>
          <t>Courses, Projects and Learning Tracker</t>
        </is>
      </c>
      <c r="J1" s="2" t="inlineStr">
        <is>
          <t>Go to Dashboard</t>
        </is>
      </c>
    </row>
    <row r="3">
      <c r="A3" s="22" t="inlineStr">
        <is>
          <t>Activity / Course</t>
        </is>
      </c>
      <c r="B3" s="22" t="inlineStr">
        <is>
          <t>Category</t>
        </is>
      </c>
      <c r="C3" s="22" t="inlineStr">
        <is>
          <t>Start Date</t>
        </is>
      </c>
      <c r="D3" s="22" t="inlineStr">
        <is>
          <t>End Date</t>
        </is>
      </c>
      <c r="E3" s="22" t="inlineStr">
        <is>
          <t>Status</t>
        </is>
      </c>
      <c r="F3" s="22" t="inlineStr">
        <is>
          <t>Progress</t>
        </is>
      </c>
      <c r="G3" s="22" t="inlineStr">
        <is>
          <t>Key Learning Outcome</t>
        </is>
      </c>
    </row>
    <row r="4" ht="58" customHeight="1">
      <c r="A4" s="23" t="inlineStr">
        <is>
          <t>Industry Overview (CPG 101)</t>
        </is>
      </c>
      <c r="B4" s="23" t="inlineStr">
        <is>
          <t>Course</t>
        </is>
      </c>
      <c r="C4" s="23" t="inlineStr">
        <is>
          <t>27-May-2026</t>
        </is>
      </c>
      <c r="D4" s="23" t="inlineStr">
        <is>
          <t>27-May-2026</t>
        </is>
      </c>
      <c r="E4" s="23" t="inlineStr">
        <is>
          <t>Completed</t>
        </is>
      </c>
      <c r="F4" s="25" t="n">
        <v>1</v>
      </c>
      <c r="G4" s="23" t="inlineStr">
        <is>
          <t>Understanding of CPG industry structure, terminology, value chain, and business processes.</t>
        </is>
      </c>
    </row>
    <row r="5" ht="58" customHeight="1">
      <c r="A5" s="23" t="inlineStr">
        <is>
          <t>QMS Awareness Training ISO 9001:2015</t>
        </is>
      </c>
      <c r="B5" s="23" t="inlineStr">
        <is>
          <t>Course</t>
        </is>
      </c>
      <c r="C5" s="23" t="inlineStr">
        <is>
          <t>27-May-2026</t>
        </is>
      </c>
      <c r="D5" s="23" t="inlineStr">
        <is>
          <t>27-May-2026</t>
        </is>
      </c>
      <c r="E5" s="23" t="inlineStr">
        <is>
          <t>Completed</t>
        </is>
      </c>
      <c r="F5" s="25" t="n">
        <v>1</v>
      </c>
      <c r="G5" s="23" t="inlineStr">
        <is>
          <t>Awareness of quality management systems, process compliance, documentation, and standard delivery practices.</t>
        </is>
      </c>
    </row>
    <row r="6" ht="58" customHeight="1">
      <c r="A6" s="23" t="inlineStr">
        <is>
          <t>Data Science Accelerator Series</t>
        </is>
      </c>
      <c r="B6" s="23" t="inlineStr">
        <is>
          <t>Course</t>
        </is>
      </c>
      <c r="C6" s="23" t="inlineStr">
        <is>
          <t>28-May-2026</t>
        </is>
      </c>
      <c r="D6" s="23" t="inlineStr">
        <is>
          <t>28-May-2026</t>
        </is>
      </c>
      <c r="E6" s="23" t="inlineStr">
        <is>
          <t>Completed</t>
        </is>
      </c>
      <c r="F6" s="25" t="n">
        <v>1</v>
      </c>
      <c r="G6" s="23" t="inlineStr">
        <is>
          <t>Exposure to analytics workflow, modelling approach, business problem framing, and structured project execution.</t>
        </is>
      </c>
    </row>
    <row r="7" ht="58" customHeight="1">
      <c r="A7" s="23" t="inlineStr">
        <is>
          <t>Price Elasticity &amp; Cross Price Elasticity</t>
        </is>
      </c>
      <c r="B7" s="23" t="inlineStr">
        <is>
          <t>Domain Learning</t>
        </is>
      </c>
      <c r="C7" s="23" t="inlineStr">
        <is>
          <t>28-May-2026</t>
        </is>
      </c>
      <c r="D7" s="23" t="inlineStr">
        <is>
          <t>29-May-2026</t>
        </is>
      </c>
      <c r="E7" s="23" t="inlineStr">
        <is>
          <t>Completed</t>
        </is>
      </c>
      <c r="F7" s="25" t="n">
        <v>1</v>
      </c>
      <c r="G7" s="23" t="inlineStr">
        <is>
          <t>Understanding demand sensitivity, pricing impact, competitor/substitute effects, revenue optimization, and CPG use cases.</t>
        </is>
      </c>
    </row>
    <row r="8" ht="58" customHeight="1">
      <c r="A8" s="23" t="inlineStr">
        <is>
          <t>Synthetic CPG Dataset Development</t>
        </is>
      </c>
      <c r="B8" s="23" t="inlineStr">
        <is>
          <t>Project</t>
        </is>
      </c>
      <c r="C8" s="23" t="inlineStr">
        <is>
          <t>28-May-2026</t>
        </is>
      </c>
      <c r="D8" s="23" t="inlineStr">
        <is>
          <t>01-Jun-2026</t>
        </is>
      </c>
      <c r="E8" s="23" t="inlineStr">
        <is>
          <t>Completed</t>
        </is>
      </c>
      <c r="F8" s="25" t="n">
        <v>1</v>
      </c>
      <c r="G8" s="23" t="inlineStr">
        <is>
          <t>Created and refined a retail-style dataset for hands-on analytics, elasticity modelling, and GitHub-based practice.</t>
        </is>
      </c>
    </row>
    <row r="9" ht="58" customHeight="1">
      <c r="A9" s="23" t="inlineStr">
        <is>
          <t>AI Aware - Learning to Think About AI</t>
        </is>
      </c>
      <c r="B9" s="23" t="inlineStr">
        <is>
          <t>Course</t>
        </is>
      </c>
      <c r="C9" s="23" t="inlineStr">
        <is>
          <t>02-Jun-2026</t>
        </is>
      </c>
      <c r="D9" s="23" t="inlineStr">
        <is>
          <t>04-Jun-2026</t>
        </is>
      </c>
      <c r="E9" s="23" t="inlineStr">
        <is>
          <t>Completed</t>
        </is>
      </c>
      <c r="F9" s="25" t="n">
        <v>1</v>
      </c>
      <c r="G9" s="23" t="inlineStr">
        <is>
          <t>Understanding AI fundamentals, responsible usage, governance, enterprise adoption, and business applications.</t>
        </is>
      </c>
    </row>
    <row r="10" ht="58" customHeight="1">
      <c r="A10" s="23" t="inlineStr">
        <is>
          <t>Pivot Tables in Excel</t>
        </is>
      </c>
      <c r="B10" s="23" t="inlineStr">
        <is>
          <t>Course</t>
        </is>
      </c>
      <c r="C10" s="23" t="inlineStr">
        <is>
          <t>04-Jun-2026</t>
        </is>
      </c>
      <c r="D10" s="23" t="inlineStr">
        <is>
          <t>04-Jun-2026</t>
        </is>
      </c>
      <c r="E10" s="23" t="inlineStr">
        <is>
          <t>Completed</t>
        </is>
      </c>
      <c r="F10" s="25" t="n">
        <v>1</v>
      </c>
      <c r="G10" s="23" t="inlineStr">
        <is>
          <t>Learned summarization, grouping, filtering, and interactive Excel reporting techniques.</t>
        </is>
      </c>
    </row>
    <row r="11" ht="58" customHeight="1">
      <c r="A11" s="23" t="inlineStr">
        <is>
          <t>Exploring Data in Excel</t>
        </is>
      </c>
      <c r="B11" s="23" t="inlineStr">
        <is>
          <t>Course</t>
        </is>
      </c>
      <c r="C11" s="23" t="inlineStr">
        <is>
          <t>04-Jun-2026</t>
        </is>
      </c>
      <c r="D11" s="23" t="inlineStr">
        <is>
          <t>04-Jun-2026</t>
        </is>
      </c>
      <c r="E11" s="23" t="inlineStr">
        <is>
          <t>Completed</t>
        </is>
      </c>
      <c r="F11" s="25" t="n">
        <v>1</v>
      </c>
      <c r="G11" s="23" t="inlineStr">
        <is>
          <t>Practiced data exploration, basic cleansing, analysis, and chart-based interpretation in Excel.</t>
        </is>
      </c>
    </row>
    <row r="12" ht="58" customHeight="1">
      <c r="A12" s="23" t="inlineStr">
        <is>
          <t>PL-300 Power BI for Data Analysis</t>
        </is>
      </c>
      <c r="B12" s="23" t="inlineStr">
        <is>
          <t>Course</t>
        </is>
      </c>
      <c r="C12" s="23" t="inlineStr">
        <is>
          <t>04-Jun-2026</t>
        </is>
      </c>
      <c r="D12" s="23" t="inlineStr">
        <is>
          <t>04-Jun-2026</t>
        </is>
      </c>
      <c r="E12" s="23" t="inlineStr">
        <is>
          <t>Completed</t>
        </is>
      </c>
      <c r="F12" s="25" t="n">
        <v>1</v>
      </c>
      <c r="G12" s="23" t="inlineStr">
        <is>
          <t>Built foundation in Power BI, dashboards, visual analytics, model design, and business reporting.</t>
        </is>
      </c>
    </row>
    <row r="13">
      <c r="A13" t="inlineStr">
        <is>
          <t>Deep Learning Math</t>
        </is>
      </c>
      <c r="B13" t="inlineStr">
        <is>
          <t>Course</t>
        </is>
      </c>
      <c r="C13" t="inlineStr">
        <is>
          <t>05-Jun-2026</t>
        </is>
      </c>
      <c r="D13" t="inlineStr">
        <is>
          <t>05-Jun-2026</t>
        </is>
      </c>
      <c r="E13" t="inlineStr">
        <is>
          <t>Completed</t>
        </is>
      </c>
    </row>
    <row r="14">
      <c r="A14" t="inlineStr">
        <is>
          <t>Designing BI Infrastructure</t>
        </is>
      </c>
      <c r="B14" t="inlineStr">
        <is>
          <t>Course</t>
        </is>
      </c>
      <c r="C14" t="inlineStr">
        <is>
          <t>05-Jun-2026</t>
        </is>
      </c>
      <c r="D14" t="inlineStr">
        <is>
          <t>05-Jun-2026</t>
        </is>
      </c>
      <c r="E14" t="inlineStr">
        <is>
          <t>Completed</t>
        </is>
      </c>
    </row>
    <row r="15">
      <c r="A15" t="inlineStr">
        <is>
          <t>JTI Data Exploration and Key Validation</t>
        </is>
      </c>
      <c r="B15" t="inlineStr">
        <is>
          <t>Project</t>
        </is>
      </c>
      <c r="C15" t="inlineStr">
        <is>
          <t>08-Jun-2026</t>
        </is>
      </c>
      <c r="D15" t="inlineStr">
        <is>
          <t>08-Jun-2026</t>
        </is>
      </c>
      <c r="E15" t="inlineStr">
        <is>
          <t>Completed</t>
        </is>
      </c>
    </row>
    <row r="16">
      <c r="A16" t="inlineStr">
        <is>
          <t>Elasticity Model Comparison (OLS, HLM, GAM)</t>
        </is>
      </c>
      <c r="B16" t="inlineStr">
        <is>
          <t>Project</t>
        </is>
      </c>
      <c r="C16" t="inlineStr">
        <is>
          <t>09-Jun-2026</t>
        </is>
      </c>
      <c r="D16" t="inlineStr">
        <is>
          <t>09-Jun-2026</t>
        </is>
      </c>
      <c r="E16" t="inlineStr">
        <is>
          <t>Completed</t>
        </is>
      </c>
    </row>
    <row r="17">
      <c r="A17" t="inlineStr">
        <is>
          <t>Elasticity Findings Report</t>
        </is>
      </c>
      <c r="B17" t="inlineStr">
        <is>
          <t>Project</t>
        </is>
      </c>
      <c r="C17" t="inlineStr">
        <is>
          <t>10-Jun-2026</t>
        </is>
      </c>
      <c r="D17" t="inlineStr">
        <is>
          <t>10-Jun-2026</t>
        </is>
      </c>
      <c r="E17" t="inlineStr">
        <is>
          <t>Completed</t>
        </is>
      </c>
    </row>
    <row r="18">
      <c r="A18" t="inlineStr">
        <is>
          <t>Gemini Enterprise</t>
        </is>
      </c>
      <c r="B18" t="inlineStr">
        <is>
          <t>Course</t>
        </is>
      </c>
      <c r="C18" t="inlineStr">
        <is>
          <t>10-Jun-2026</t>
        </is>
      </c>
      <c r="E18" t="inlineStr">
        <is>
          <t>In Progress</t>
        </is>
      </c>
    </row>
  </sheetData>
  <autoFilter ref="A3:G12"/>
  <mergeCells count="1">
    <mergeCell ref="A1:G1"/>
  </mergeCells>
  <dataValidations count="1">
    <dataValidation sqref="E4:E12" showDropDown="0" showInputMessage="0" showErrorMessage="0" allowBlank="0" type="list">
      <formula1>"Completed,In Progress,Pending"</formula1>
    </dataValidation>
  </dataValidations>
  <hyperlinks>
    <hyperlink xmlns:r="http://schemas.openxmlformats.org/officeDocument/2006/relationships" ref="J1" r:id="rId1"/>
  </hyperlink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J3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26" t="inlineStr">
        <is>
          <t>Internship Progress Dashboard</t>
        </is>
      </c>
      <c r="J1" s="2" t="inlineStr">
        <is>
          <t>Go to Daily Activities</t>
        </is>
      </c>
    </row>
    <row r="2">
      <c r="J2" s="2" t="inlineStr">
        <is>
          <t>Go to Activity Tracker</t>
        </is>
      </c>
    </row>
    <row r="3">
      <c r="A3" s="27" t="inlineStr">
        <is>
          <t>Total Recorded Days</t>
        </is>
      </c>
      <c r="C3" s="27" t="inlineStr">
        <is>
          <t>Office Days</t>
        </is>
      </c>
      <c r="E3" s="27" t="inlineStr">
        <is>
          <t>WFH Days</t>
        </is>
      </c>
      <c r="G3" s="27" t="inlineStr">
        <is>
          <t>Courses Completed</t>
        </is>
      </c>
    </row>
    <row r="4">
      <c r="A4" s="35">
        <f>COUNTA('Daily Activities'!A4:A19)</f>
        <v/>
      </c>
      <c r="B4" s="29" t="n"/>
      <c r="C4" s="35">
        <f>COUNTIF('Daily Activities'!C:C,"Office")</f>
        <v/>
      </c>
      <c r="D4" s="29" t="n"/>
      <c r="E4" s="35">
        <f>COUNTIF('Daily Activities'!C:C,"Home")</f>
        <v/>
      </c>
      <c r="F4" s="29" t="n"/>
      <c r="G4" s="35">
        <f>COUNTIF('Activity Tracker'!E:E,"Completed")</f>
        <v/>
      </c>
      <c r="H4" s="29" t="n"/>
    </row>
    <row r="6">
      <c r="A6" s="27" t="inlineStr">
        <is>
          <t>Leave Days</t>
        </is>
      </c>
      <c r="C6" s="27" t="inlineStr">
        <is>
          <t>Weekend Days</t>
        </is>
      </c>
      <c r="E6" s="27" t="inlineStr">
        <is>
          <t>Project Activities</t>
        </is>
      </c>
      <c r="G6" s="27" t="inlineStr">
        <is>
          <t>Completion %</t>
        </is>
      </c>
    </row>
    <row r="7">
      <c r="A7" s="35">
        <f>COUNTIF('Daily Activities'!C:C,"Leave")</f>
        <v/>
      </c>
      <c r="B7" s="29" t="n"/>
      <c r="C7" s="35">
        <f>COUNTIF('Daily Activities'!C:C,"Weekend")</f>
        <v/>
      </c>
      <c r="D7" s="29" t="n"/>
      <c r="E7" s="36">
        <f>COUNTIF('Daily Activities'!D:D,"Project Work")</f>
        <v/>
      </c>
      <c r="F7" s="29" t="n"/>
      <c r="G7" s="36">
        <f>COUNTIF('Activity Tracker'!E:E,"Completed")/COUNTA('Activity Tracker'!A4:A12)</f>
        <v/>
      </c>
      <c r="H7" s="29" t="n"/>
    </row>
    <row r="10">
      <c r="A10" s="31" t="inlineStr">
        <is>
          <t>Work Mode</t>
        </is>
      </c>
      <c r="B10" s="31" t="inlineStr">
        <is>
          <t>Count</t>
        </is>
      </c>
      <c r="D10" s="31" t="inlineStr">
        <is>
          <t>Activity Category</t>
        </is>
      </c>
      <c r="E10" s="31" t="inlineStr">
        <is>
          <t>Count</t>
        </is>
      </c>
    </row>
    <row r="11">
      <c r="A11" s="19" t="inlineStr">
        <is>
          <t>Office</t>
        </is>
      </c>
      <c r="B11" s="19">
        <f>COUNTIF('Daily Activities'!C:C,A11)</f>
        <v/>
      </c>
      <c r="D11" s="19" t="inlineStr">
        <is>
          <t>Onboarding</t>
        </is>
      </c>
      <c r="E11" s="19">
        <f>COUNTIF('Daily Activities'!D:D,D11)</f>
        <v/>
      </c>
    </row>
    <row r="12">
      <c r="A12" s="19" t="inlineStr">
        <is>
          <t>Home</t>
        </is>
      </c>
      <c r="B12" s="19">
        <f>COUNTIF('Daily Activities'!C:C,A12)</f>
        <v/>
      </c>
      <c r="D12" s="19" t="inlineStr">
        <is>
          <t>Team Interaction</t>
        </is>
      </c>
      <c r="E12" s="19">
        <f>COUNTIF('Daily Activities'!D:D,D12)</f>
        <v/>
      </c>
    </row>
    <row r="13">
      <c r="A13" s="19" t="inlineStr">
        <is>
          <t>Leave</t>
        </is>
      </c>
      <c r="B13" s="19">
        <f>COUNTIF('Daily Activities'!C:C,A13)</f>
        <v/>
      </c>
      <c r="D13" s="19" t="inlineStr">
        <is>
          <t>Domain Learning</t>
        </is>
      </c>
      <c r="E13" s="19">
        <f>COUNTIF('Daily Activities'!D:D,D13)</f>
        <v/>
      </c>
    </row>
    <row r="14">
      <c r="A14" s="19" t="inlineStr">
        <is>
          <t>Weekend</t>
        </is>
      </c>
      <c r="B14" s="19">
        <f>COUNTIF('Daily Activities'!C:C,A14)</f>
        <v/>
      </c>
      <c r="D14" s="19" t="inlineStr">
        <is>
          <t>Technical Learning</t>
        </is>
      </c>
      <c r="E14" s="19">
        <f>COUNTIF('Daily Activities'!D:D,D14)</f>
        <v/>
      </c>
    </row>
    <row r="15">
      <c r="A15" s="19" t="n"/>
      <c r="B15" s="19" t="n"/>
      <c r="D15" s="19" t="inlineStr">
        <is>
          <t>Project Work</t>
        </is>
      </c>
      <c r="E15" s="19">
        <f>COUNTIF('Daily Activities'!D:D,D15)</f>
        <v/>
      </c>
    </row>
    <row r="16">
      <c r="A16" s="19" t="n"/>
      <c r="B16" s="19" t="n"/>
      <c r="D16" s="19" t="inlineStr">
        <is>
          <t>Course Learning</t>
        </is>
      </c>
      <c r="E16" s="19">
        <f>COUNTIF('Daily Activities'!D:D,D16)</f>
        <v/>
      </c>
    </row>
    <row r="17">
      <c r="A17" s="19" t="n"/>
      <c r="B17" s="19" t="n"/>
      <c r="D17" s="19" t="inlineStr">
        <is>
          <t>Course Completion</t>
        </is>
      </c>
      <c r="E17" s="19">
        <f>COUNTIF('Daily Activities'!D:D,D17)</f>
        <v/>
      </c>
    </row>
    <row r="18">
      <c r="A18" s="19" t="n"/>
      <c r="B18" s="19" t="n"/>
      <c r="D18" s="19" t="inlineStr">
        <is>
          <t>Leave</t>
        </is>
      </c>
      <c r="E18" s="19">
        <f>COUNTIF('Daily Activities'!D:D,D18)</f>
        <v/>
      </c>
    </row>
    <row r="19">
      <c r="A19" s="19" t="n"/>
      <c r="B19" s="19" t="n"/>
      <c r="D19" s="19" t="inlineStr">
        <is>
          <t>No Work</t>
        </is>
      </c>
      <c r="E19" s="19">
        <f>COUNTIF('Daily Activities'!D:D,D19)</f>
        <v/>
      </c>
    </row>
    <row r="37">
      <c r="A37" s="32" t="inlineStr">
        <is>
          <t>Interactive features included: filters on both data sheets, dropdowns for Work Mode and Status, wrapped text, dashboard KPI cards, charts, and clickable navigation links.</t>
        </is>
      </c>
    </row>
    <row r="38"/>
  </sheetData>
  <mergeCells count="18">
    <mergeCell ref="A4:B4"/>
    <mergeCell ref="G4:H4"/>
    <mergeCell ref="E4:F4"/>
    <mergeCell ref="E6:F6"/>
    <mergeCell ref="C6:D6"/>
    <mergeCell ref="C7:D7"/>
    <mergeCell ref="A7:B7"/>
    <mergeCell ref="G7:H7"/>
    <mergeCell ref="E7:F7"/>
    <mergeCell ref="A37:H38"/>
    <mergeCell ref="G6:H6"/>
    <mergeCell ref="A1:H1"/>
    <mergeCell ref="A6:B6"/>
    <mergeCell ref="C3:D3"/>
    <mergeCell ref="A3:B3"/>
    <mergeCell ref="G3:H3"/>
    <mergeCell ref="E3:F3"/>
    <mergeCell ref="C4:D4"/>
  </mergeCells>
  <hyperlinks>
    <hyperlink xmlns:r="http://schemas.openxmlformats.org/officeDocument/2006/relationships" ref="J1" r:id="rId1"/>
    <hyperlink xmlns:r="http://schemas.openxmlformats.org/officeDocument/2006/relationships" ref="J2" r:id="rId2"/>
  </hyperlinks>
  <pageMargins left="0.75" right="0.75" top="1" bottom="1" header="0.5" footer="0.5"/>
  <pageSetup orientation="landscape" fitToHeight="0" fitToWidth="1"/>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2026-06-05T06:00:47Z</dcterms:created>
  <dcterms:modified xmlns:dcterms="http://purl.org/dc/terms/" xmlns:xsi="http://www.w3.org/2001/XMLSchema-instance" xsi:type="dcterms:W3CDTF">2026-06-10T08:26:06Z</dcterms:modified>
</cp:coreProperties>
</file>